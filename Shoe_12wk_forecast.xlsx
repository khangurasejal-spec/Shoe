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Arial"/>
      <color rgb="FF000000"/>
      <sz val="10"/>
      <scheme val="minor"/>
    </font>
    <font>
      <name val="Arial"/>
      <b val="1"/>
      <color rgb="FFFFFFFF"/>
      <sz val="11"/>
    </font>
    <font>
      <name val="Arial"/>
      <color theme="1"/>
    </font>
    <font>
      <name val="Calibri"/>
      <color theme="1"/>
      <sz val="11"/>
    </font>
    <font>
      <b val="1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00FFF2C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164" fontId="2" fillId="3" borderId="0" applyAlignment="1" pivotButton="0" quotePrefix="0" xfId="0">
      <alignment horizontal="right" vertical="bottom"/>
    </xf>
    <xf numFmtId="0" fontId="2" fillId="3" borderId="0" applyAlignment="1" pivotButton="0" quotePrefix="0" xfId="0">
      <alignment vertical="bottom"/>
    </xf>
    <xf numFmtId="0" fontId="2" fillId="3" borderId="0" applyAlignment="1" pivotButton="0" quotePrefix="0" xfId="0">
      <alignment horizontal="right" vertical="bottom"/>
    </xf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64" fontId="2" fillId="4" borderId="0" applyAlignment="1" pivotButton="0" quotePrefix="0" xfId="0">
      <alignment horizontal="right" vertical="bottom"/>
    </xf>
    <xf numFmtId="0" fontId="2" fillId="4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164" fontId="3" fillId="3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/>
    </xf>
    <xf numFmtId="0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5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18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14" min="1" max="1"/>
    <col width="58" customWidth="1" style="14" min="8" max="8"/>
  </cols>
  <sheetData>
    <row r="1">
      <c r="A1" s="1" t="inlineStr">
        <is>
          <t>week_ending</t>
        </is>
      </c>
      <c r="B1" s="1" t="inlineStr">
        <is>
          <t>sku</t>
        </is>
      </c>
      <c r="C1" s="1" t="inlineStr">
        <is>
          <t>size</t>
        </is>
      </c>
      <c r="D1" s="1" t="inlineStr">
        <is>
          <t>units_sold</t>
        </is>
      </c>
      <c r="E1" s="1" t="inlineStr">
        <is>
          <t>on_hand_end</t>
        </is>
      </c>
      <c r="F1" s="1" t="inlineStr">
        <is>
          <t>units_received</t>
        </is>
      </c>
      <c r="H1" s="15" t="inlineStr">
        <is>
          <t>Forecast drivers</t>
        </is>
      </c>
    </row>
    <row r="2">
      <c r="A2" s="2" t="n">
        <v>45542</v>
      </c>
      <c r="B2" s="3" t="inlineStr">
        <is>
          <t>RB-101</t>
        </is>
      </c>
      <c r="C2" s="3" t="inlineStr">
        <is>
          <t>11</t>
        </is>
      </c>
      <c r="D2" s="4" t="n">
        <v>8</v>
      </c>
      <c r="E2" s="4" t="n">
        <v>67</v>
      </c>
      <c r="F2" s="4" t="n">
        <v>0</v>
      </c>
      <c r="H2" t="inlineStr">
        <is>
          <t>Baseline weeks (recent avg)</t>
        </is>
      </c>
      <c r="I2" t="n">
        <v>8</v>
      </c>
    </row>
    <row r="3">
      <c r="A3" s="2" t="n">
        <v>45549</v>
      </c>
      <c r="B3" s="3" t="inlineStr">
        <is>
          <t>RB-101</t>
        </is>
      </c>
      <c r="C3" s="3" t="inlineStr">
        <is>
          <t>11</t>
        </is>
      </c>
      <c r="D3" s="4" t="n">
        <v>7</v>
      </c>
      <c r="E3" s="4" t="n">
        <v>60</v>
      </c>
      <c r="F3" s="4" t="n">
        <v>0</v>
      </c>
      <c r="H3" t="inlineStr">
        <is>
          <t>Last actual week ending</t>
        </is>
      </c>
      <c r="I3" s="16" t="n">
        <v>46263</v>
      </c>
    </row>
    <row r="4">
      <c r="A4" s="2" t="n">
        <v>45556</v>
      </c>
      <c r="B4" s="3" t="inlineStr">
        <is>
          <t>RB-101</t>
        </is>
      </c>
      <c r="C4" s="3" t="inlineStr">
        <is>
          <t>11</t>
        </is>
      </c>
      <c r="D4" s="4" t="n">
        <v>10</v>
      </c>
      <c r="E4" s="4" t="n">
        <v>50</v>
      </c>
      <c r="F4" s="4" t="n">
        <v>0</v>
      </c>
      <c r="H4" t="inlineStr">
        <is>
          <t>Recent avg units/wk</t>
        </is>
      </c>
      <c r="I4" s="17">
        <f>AVERAGEIFS($D$2:$D$105,$A$2:$A$105,"&gt;"&amp;I3-7*I2,$A$2:$A$105,"&lt;="&amp;I3)</f>
        <v/>
      </c>
    </row>
    <row r="5">
      <c r="A5" s="2" t="n">
        <v>45563</v>
      </c>
      <c r="B5" s="3" t="inlineStr">
        <is>
          <t>RB-101</t>
        </is>
      </c>
      <c r="C5" s="3" t="inlineStr">
        <is>
          <t>11</t>
        </is>
      </c>
      <c r="D5" s="4" t="n">
        <v>8</v>
      </c>
      <c r="E5" s="4" t="n">
        <v>100</v>
      </c>
      <c r="F5" s="4" t="n">
        <v>58</v>
      </c>
      <c r="H5" t="inlineStr">
        <is>
          <t>Avg units/wk, latest 52 wks (9/6/25-8/29/26)</t>
        </is>
      </c>
      <c r="I5" s="17">
        <f>AVERAGEIFS($D$2:$D$105,$A$2:$A$105,"&gt;"&amp;I3-364,$A$2:$A$105,"&lt;="&amp;I3)</f>
        <v/>
      </c>
    </row>
    <row r="6">
      <c r="A6" s="2" t="n">
        <v>45570</v>
      </c>
      <c r="B6" s="3" t="inlineStr">
        <is>
          <t>RB-101</t>
        </is>
      </c>
      <c r="C6" s="3" t="inlineStr">
        <is>
          <t>11</t>
        </is>
      </c>
      <c r="D6" s="4" t="n">
        <v>7</v>
      </c>
      <c r="E6" s="4" t="n">
        <v>93</v>
      </c>
      <c r="F6" s="4" t="n">
        <v>0</v>
      </c>
      <c r="H6" t="inlineStr">
        <is>
          <t>Avg units/wk, prior 52 wks (9/7/24-8/30/25)</t>
        </is>
      </c>
      <c r="I6" s="17">
        <f>AVERAGEIFS($D$2:$D$105,$A$2:$A$105,"&gt;"&amp;I3-728,$A$2:$A$105,"&lt;="&amp;I3-364)</f>
        <v/>
      </c>
    </row>
    <row r="7">
      <c r="A7" s="2" t="n">
        <v>45577</v>
      </c>
      <c r="B7" s="3" t="inlineStr">
        <is>
          <t>RB-101</t>
        </is>
      </c>
      <c r="C7" s="3" t="inlineStr">
        <is>
          <t>11</t>
        </is>
      </c>
      <c r="D7" s="4" t="n">
        <v>6</v>
      </c>
      <c r="E7" s="4" t="n">
        <v>87</v>
      </c>
      <c r="F7" s="4" t="n">
        <v>0</v>
      </c>
      <c r="H7" t="inlineStr">
        <is>
          <t>Seasonal idx of baseline weeks (same weeks LY / prior-52wk avg)</t>
        </is>
      </c>
      <c r="I7" s="17">
        <f>AVERAGEIFS($D$2:$D$105,$A$2:$A$105,"&gt;"&amp;I3-364-7*I2,$A$2:$A$105,"&lt;="&amp;I3-364)/I6</f>
        <v/>
      </c>
    </row>
    <row r="8">
      <c r="A8" s="2" t="n">
        <v>45584</v>
      </c>
      <c r="B8" s="3" t="inlineStr">
        <is>
          <t>RB-101</t>
        </is>
      </c>
      <c r="C8" s="3" t="inlineStr">
        <is>
          <t>11</t>
        </is>
      </c>
      <c r="D8" s="4" t="n">
        <v>7</v>
      </c>
      <c r="E8" s="4" t="n">
        <v>80</v>
      </c>
      <c r="F8" s="4" t="n">
        <v>0</v>
      </c>
      <c r="H8" t="inlineStr">
        <is>
          <t>Weight on latest year seasonality</t>
        </is>
      </c>
      <c r="I8" t="n">
        <v>0.5</v>
      </c>
    </row>
    <row r="9">
      <c r="A9" s="2" t="n">
        <v>45591</v>
      </c>
      <c r="B9" s="3" t="inlineStr">
        <is>
          <t>RB-101</t>
        </is>
      </c>
      <c r="C9" s="3" t="inlineStr">
        <is>
          <t>11</t>
        </is>
      </c>
      <c r="D9" s="4" t="n">
        <v>6</v>
      </c>
      <c r="E9" s="4" t="n">
        <v>74</v>
      </c>
      <c r="F9" s="4" t="n">
        <v>0</v>
      </c>
      <c r="H9" t="inlineStr">
        <is>
          <t>Note</t>
        </is>
      </c>
      <c r="I9" t="inlineStr">
        <is>
          <t>Forecast = deseasonalized level x seasonal index of same week LY and 2 yrs ago (3-wk centered avg)</t>
        </is>
      </c>
    </row>
    <row r="10">
      <c r="A10" s="2" t="n">
        <v>45598</v>
      </c>
      <c r="B10" s="3" t="inlineStr">
        <is>
          <t>RB-101</t>
        </is>
      </c>
      <c r="C10" s="3" t="inlineStr">
        <is>
          <t>11</t>
        </is>
      </c>
      <c r="D10" s="4" t="n">
        <v>7</v>
      </c>
      <c r="E10" s="4" t="n">
        <v>67</v>
      </c>
      <c r="F10" s="4" t="n">
        <v>0</v>
      </c>
      <c r="H10" t="inlineStr">
        <is>
          <t>Deseasonalized level (units/wk)</t>
        </is>
      </c>
      <c r="I10" s="17">
        <f>I4/I7</f>
        <v/>
      </c>
    </row>
    <row r="11">
      <c r="A11" s="2" t="n">
        <v>45605</v>
      </c>
      <c r="B11" s="3" t="inlineStr">
        <is>
          <t>RB-101</t>
        </is>
      </c>
      <c r="C11" s="3" t="inlineStr">
        <is>
          <t>11</t>
        </is>
      </c>
      <c r="D11" s="4" t="n">
        <v>11</v>
      </c>
      <c r="E11" s="4" t="n">
        <v>140</v>
      </c>
      <c r="F11" s="4" t="n">
        <v>84</v>
      </c>
    </row>
    <row r="12">
      <c r="A12" s="2" t="n">
        <v>45612</v>
      </c>
      <c r="B12" s="3" t="inlineStr">
        <is>
          <t>RB-101</t>
        </is>
      </c>
      <c r="C12" s="3" t="inlineStr">
        <is>
          <t>11</t>
        </is>
      </c>
      <c r="D12" s="4" t="n">
        <v>15</v>
      </c>
      <c r="E12" s="4" t="n">
        <v>125</v>
      </c>
      <c r="F12" s="4" t="n">
        <v>0</v>
      </c>
    </row>
    <row r="13">
      <c r="A13" s="2" t="n">
        <v>45619</v>
      </c>
      <c r="B13" s="3" t="inlineStr">
        <is>
          <t>RB-101</t>
        </is>
      </c>
      <c r="C13" s="3" t="inlineStr">
        <is>
          <t>11</t>
        </is>
      </c>
      <c r="D13" s="4" t="n">
        <v>13</v>
      </c>
      <c r="E13" s="4" t="n">
        <v>112</v>
      </c>
      <c r="F13" s="4" t="n">
        <v>0</v>
      </c>
    </row>
    <row r="14">
      <c r="A14" s="5" t="n">
        <v>45626</v>
      </c>
      <c r="B14" s="6" t="inlineStr">
        <is>
          <t>RB-101</t>
        </is>
      </c>
      <c r="C14" s="6" t="inlineStr">
        <is>
          <t>11</t>
        </is>
      </c>
      <c r="D14" s="7" t="n">
        <v>9</v>
      </c>
      <c r="E14" s="7" t="n">
        <v>103</v>
      </c>
      <c r="F14" s="7" t="n">
        <v>0</v>
      </c>
    </row>
    <row r="15">
      <c r="A15" s="5" t="n">
        <v>45633</v>
      </c>
      <c r="B15" s="6" t="inlineStr">
        <is>
          <t>RB-101</t>
        </is>
      </c>
      <c r="C15" s="6" t="inlineStr">
        <is>
          <t>11</t>
        </is>
      </c>
      <c r="D15" s="7" t="n">
        <v>10</v>
      </c>
      <c r="E15" s="7" t="n">
        <v>93</v>
      </c>
      <c r="F15" s="7" t="n">
        <v>0</v>
      </c>
    </row>
    <row r="16">
      <c r="A16" s="5" t="n">
        <v>45640</v>
      </c>
      <c r="B16" s="6" t="inlineStr">
        <is>
          <t>RB-101</t>
        </is>
      </c>
      <c r="C16" s="6" t="inlineStr">
        <is>
          <t>11</t>
        </is>
      </c>
      <c r="D16" s="7" t="n">
        <v>12</v>
      </c>
      <c r="E16" s="7" t="n">
        <v>81</v>
      </c>
      <c r="F16" s="7" t="n">
        <v>0</v>
      </c>
    </row>
    <row r="17">
      <c r="A17" s="5" t="n">
        <v>45647</v>
      </c>
      <c r="B17" s="6" t="inlineStr">
        <is>
          <t>RB-101</t>
        </is>
      </c>
      <c r="C17" s="6" t="inlineStr">
        <is>
          <t>11</t>
        </is>
      </c>
      <c r="D17" s="7" t="n">
        <v>13</v>
      </c>
      <c r="E17" s="7" t="n">
        <v>149</v>
      </c>
      <c r="F17" s="7" t="n">
        <v>81</v>
      </c>
    </row>
    <row r="18">
      <c r="A18" s="5" t="n">
        <v>45654</v>
      </c>
      <c r="B18" s="6" t="inlineStr">
        <is>
          <t>RB-101</t>
        </is>
      </c>
      <c r="C18" s="6" t="inlineStr">
        <is>
          <t>11</t>
        </is>
      </c>
      <c r="D18" s="7" t="n">
        <v>16</v>
      </c>
      <c r="E18" s="7" t="n">
        <v>133</v>
      </c>
      <c r="F18" s="7" t="n">
        <v>0</v>
      </c>
    </row>
    <row r="19">
      <c r="A19" s="5" t="n">
        <v>45661</v>
      </c>
      <c r="B19" s="6" t="inlineStr">
        <is>
          <t>RB-101</t>
        </is>
      </c>
      <c r="C19" s="6" t="inlineStr">
        <is>
          <t>11</t>
        </is>
      </c>
      <c r="D19" s="7" t="n">
        <v>11</v>
      </c>
      <c r="E19" s="7" t="n">
        <v>122</v>
      </c>
      <c r="F19" s="7" t="n">
        <v>0</v>
      </c>
    </row>
    <row r="20">
      <c r="A20" s="5" t="n">
        <v>45668</v>
      </c>
      <c r="B20" s="6" t="inlineStr">
        <is>
          <t>RB-101</t>
        </is>
      </c>
      <c r="C20" s="6" t="inlineStr">
        <is>
          <t>11</t>
        </is>
      </c>
      <c r="D20" s="7" t="n">
        <v>5</v>
      </c>
      <c r="E20" s="7" t="n">
        <v>117</v>
      </c>
      <c r="F20" s="7" t="n">
        <v>0</v>
      </c>
    </row>
    <row r="21">
      <c r="A21" s="5" t="n">
        <v>45675</v>
      </c>
      <c r="B21" s="6" t="inlineStr">
        <is>
          <t>RB-101</t>
        </is>
      </c>
      <c r="C21" s="6" t="inlineStr">
        <is>
          <t>11</t>
        </is>
      </c>
      <c r="D21" s="7" t="n">
        <v>11</v>
      </c>
      <c r="E21" s="7" t="n">
        <v>106</v>
      </c>
      <c r="F21" s="7" t="n">
        <v>0</v>
      </c>
    </row>
    <row r="22">
      <c r="A22" s="5" t="n">
        <v>45682</v>
      </c>
      <c r="B22" s="6" t="inlineStr">
        <is>
          <t>RB-101</t>
        </is>
      </c>
      <c r="C22" s="6" t="inlineStr">
        <is>
          <t>11</t>
        </is>
      </c>
      <c r="D22" s="7" t="n">
        <v>13</v>
      </c>
      <c r="E22" s="7" t="n">
        <v>93</v>
      </c>
      <c r="F22" s="7" t="n">
        <v>0</v>
      </c>
    </row>
    <row r="23">
      <c r="A23" s="5" t="n">
        <v>45689</v>
      </c>
      <c r="B23" s="6" t="inlineStr">
        <is>
          <t>RB-101</t>
        </is>
      </c>
      <c r="C23" s="6" t="inlineStr">
        <is>
          <t>11</t>
        </is>
      </c>
      <c r="D23" s="7" t="n">
        <v>11</v>
      </c>
      <c r="E23" s="7" t="n">
        <v>155</v>
      </c>
      <c r="F23" s="7" t="n">
        <v>73</v>
      </c>
    </row>
    <row r="24">
      <c r="A24" s="5" t="n">
        <v>45696</v>
      </c>
      <c r="B24" s="6" t="inlineStr">
        <is>
          <t>RB-101</t>
        </is>
      </c>
      <c r="C24" s="6" t="inlineStr">
        <is>
          <t>11</t>
        </is>
      </c>
      <c r="D24" s="7" t="n">
        <v>7</v>
      </c>
      <c r="E24" s="7" t="n">
        <v>148</v>
      </c>
      <c r="F24" s="7" t="n">
        <v>0</v>
      </c>
    </row>
    <row r="25">
      <c r="A25" s="5" t="n">
        <v>45703</v>
      </c>
      <c r="B25" s="6" t="inlineStr">
        <is>
          <t>RB-101</t>
        </is>
      </c>
      <c r="C25" s="6" t="inlineStr">
        <is>
          <t>11</t>
        </is>
      </c>
      <c r="D25" s="7" t="n">
        <v>12</v>
      </c>
      <c r="E25" s="7" t="n">
        <v>136</v>
      </c>
      <c r="F25" s="7" t="n">
        <v>0</v>
      </c>
    </row>
    <row r="26">
      <c r="A26" s="5" t="n">
        <v>45710</v>
      </c>
      <c r="B26" s="6" t="inlineStr">
        <is>
          <t>RB-101</t>
        </is>
      </c>
      <c r="C26" s="6" t="inlineStr">
        <is>
          <t>11</t>
        </is>
      </c>
      <c r="D26" s="7" t="n">
        <v>8</v>
      </c>
      <c r="E26" s="7" t="n">
        <v>128</v>
      </c>
      <c r="F26" s="7" t="n">
        <v>0</v>
      </c>
    </row>
    <row r="27">
      <c r="A27" s="5" t="n">
        <v>45717</v>
      </c>
      <c r="B27" s="6" t="inlineStr">
        <is>
          <t>RB-101</t>
        </is>
      </c>
      <c r="C27" s="6" t="inlineStr">
        <is>
          <t>11</t>
        </is>
      </c>
      <c r="D27" s="7" t="n">
        <v>9</v>
      </c>
      <c r="E27" s="7" t="n">
        <v>119</v>
      </c>
      <c r="F27" s="7" t="n">
        <v>0</v>
      </c>
    </row>
    <row r="28">
      <c r="A28" s="5" t="n">
        <v>45724</v>
      </c>
      <c r="B28" s="6" t="inlineStr">
        <is>
          <t>RB-101</t>
        </is>
      </c>
      <c r="C28" s="6" t="inlineStr">
        <is>
          <t>11</t>
        </is>
      </c>
      <c r="D28" s="7" t="n">
        <v>4</v>
      </c>
      <c r="E28" s="7" t="n">
        <v>115</v>
      </c>
      <c r="F28" s="7" t="n">
        <v>0</v>
      </c>
    </row>
    <row r="29">
      <c r="A29" s="5" t="n">
        <v>45731</v>
      </c>
      <c r="B29" s="6" t="inlineStr">
        <is>
          <t>RB-101</t>
        </is>
      </c>
      <c r="C29" s="6" t="inlineStr">
        <is>
          <t>11</t>
        </is>
      </c>
      <c r="D29" s="7" t="n">
        <v>7</v>
      </c>
      <c r="E29" s="7" t="n">
        <v>175</v>
      </c>
      <c r="F29" s="7" t="n">
        <v>67</v>
      </c>
    </row>
    <row r="30">
      <c r="A30" s="5" t="n">
        <v>45738</v>
      </c>
      <c r="B30" s="6" t="inlineStr">
        <is>
          <t>RB-101</t>
        </is>
      </c>
      <c r="C30" s="6" t="inlineStr">
        <is>
          <t>11</t>
        </is>
      </c>
      <c r="D30" s="7" t="n">
        <v>16</v>
      </c>
      <c r="E30" s="7" t="n">
        <v>159</v>
      </c>
      <c r="F30" s="7" t="n">
        <v>0</v>
      </c>
    </row>
    <row r="31">
      <c r="A31" s="5" t="n">
        <v>45745</v>
      </c>
      <c r="B31" s="6" t="inlineStr">
        <is>
          <t>RB-101</t>
        </is>
      </c>
      <c r="C31" s="6" t="inlineStr">
        <is>
          <t>11</t>
        </is>
      </c>
      <c r="D31" s="7" t="n">
        <v>14</v>
      </c>
      <c r="E31" s="7" t="n">
        <v>145</v>
      </c>
      <c r="F31" s="7" t="n">
        <v>0</v>
      </c>
    </row>
    <row r="32">
      <c r="A32" s="5" t="n">
        <v>45752</v>
      </c>
      <c r="B32" s="6" t="inlineStr">
        <is>
          <t>RB-101</t>
        </is>
      </c>
      <c r="C32" s="6" t="inlineStr">
        <is>
          <t>11</t>
        </is>
      </c>
      <c r="D32" s="7" t="n">
        <v>11</v>
      </c>
      <c r="E32" s="7" t="n">
        <v>134</v>
      </c>
      <c r="F32" s="7" t="n">
        <v>0</v>
      </c>
    </row>
    <row r="33">
      <c r="A33" s="5" t="n">
        <v>45759</v>
      </c>
      <c r="B33" s="6" t="inlineStr">
        <is>
          <t>RB-101</t>
        </is>
      </c>
      <c r="C33" s="6" t="inlineStr">
        <is>
          <t>11</t>
        </is>
      </c>
      <c r="D33" s="7" t="n">
        <v>10</v>
      </c>
      <c r="E33" s="7" t="n">
        <v>124</v>
      </c>
      <c r="F33" s="7" t="n">
        <v>0</v>
      </c>
    </row>
    <row r="34">
      <c r="A34" s="5" t="n">
        <v>45766</v>
      </c>
      <c r="B34" s="6" t="inlineStr">
        <is>
          <t>RB-101</t>
        </is>
      </c>
      <c r="C34" s="6" t="inlineStr">
        <is>
          <t>11</t>
        </is>
      </c>
      <c r="D34" s="7" t="n">
        <v>7</v>
      </c>
      <c r="E34" s="7" t="n">
        <v>117</v>
      </c>
      <c r="F34" s="7" t="n">
        <v>0</v>
      </c>
    </row>
    <row r="35">
      <c r="A35" s="5" t="n">
        <v>45773</v>
      </c>
      <c r="B35" s="6" t="inlineStr">
        <is>
          <t>RB-101</t>
        </is>
      </c>
      <c r="C35" s="6" t="inlineStr">
        <is>
          <t>11</t>
        </is>
      </c>
      <c r="D35" s="7" t="n">
        <v>9</v>
      </c>
      <c r="E35" s="7" t="n">
        <v>163</v>
      </c>
      <c r="F35" s="7" t="n">
        <v>55</v>
      </c>
    </row>
    <row r="36">
      <c r="A36" s="5" t="n">
        <v>45780</v>
      </c>
      <c r="B36" s="6" t="inlineStr">
        <is>
          <t>RB-101</t>
        </is>
      </c>
      <c r="C36" s="6" t="inlineStr">
        <is>
          <t>11</t>
        </is>
      </c>
      <c r="D36" s="7" t="n">
        <v>7</v>
      </c>
      <c r="E36" s="7" t="n">
        <v>156</v>
      </c>
      <c r="F36" s="7" t="n">
        <v>0</v>
      </c>
    </row>
    <row r="37">
      <c r="A37" s="5" t="n">
        <v>45787</v>
      </c>
      <c r="B37" s="6" t="inlineStr">
        <is>
          <t>RB-101</t>
        </is>
      </c>
      <c r="C37" s="6" t="inlineStr">
        <is>
          <t>11</t>
        </is>
      </c>
      <c r="D37" s="7" t="n">
        <v>5</v>
      </c>
      <c r="E37" s="7" t="n">
        <v>151</v>
      </c>
      <c r="F37" s="7" t="n">
        <v>0</v>
      </c>
    </row>
    <row r="38">
      <c r="A38" s="5" t="n">
        <v>45794</v>
      </c>
      <c r="B38" s="6" t="inlineStr">
        <is>
          <t>RB-101</t>
        </is>
      </c>
      <c r="C38" s="6" t="inlineStr">
        <is>
          <t>11</t>
        </is>
      </c>
      <c r="D38" s="7" t="n">
        <v>5</v>
      </c>
      <c r="E38" s="7" t="n">
        <v>146</v>
      </c>
      <c r="F38" s="7" t="n">
        <v>0</v>
      </c>
    </row>
    <row r="39">
      <c r="A39" s="5" t="n">
        <v>45801</v>
      </c>
      <c r="B39" s="6" t="inlineStr">
        <is>
          <t>RB-101</t>
        </is>
      </c>
      <c r="C39" s="6" t="inlineStr">
        <is>
          <t>11</t>
        </is>
      </c>
      <c r="D39" s="7" t="n">
        <v>5</v>
      </c>
      <c r="E39" s="7" t="n">
        <v>141</v>
      </c>
      <c r="F39" s="7" t="n">
        <v>0</v>
      </c>
    </row>
    <row r="40">
      <c r="A40" s="5" t="n">
        <v>45808</v>
      </c>
      <c r="B40" s="6" t="inlineStr">
        <is>
          <t>RB-101</t>
        </is>
      </c>
      <c r="C40" s="6" t="inlineStr">
        <is>
          <t>11</t>
        </is>
      </c>
      <c r="D40" s="7" t="n">
        <v>7</v>
      </c>
      <c r="E40" s="7" t="n">
        <v>134</v>
      </c>
      <c r="F40" s="7" t="n">
        <v>0</v>
      </c>
    </row>
    <row r="41">
      <c r="A41" s="5" t="n">
        <v>45815</v>
      </c>
      <c r="B41" s="6" t="inlineStr">
        <is>
          <t>RB-101</t>
        </is>
      </c>
      <c r="C41" s="6" t="inlineStr">
        <is>
          <t>11</t>
        </is>
      </c>
      <c r="D41" s="7" t="n">
        <v>6</v>
      </c>
      <c r="E41" s="7" t="n">
        <v>160</v>
      </c>
      <c r="F41" s="7" t="n">
        <v>32</v>
      </c>
    </row>
    <row r="42">
      <c r="A42" s="5" t="n">
        <v>45822</v>
      </c>
      <c r="B42" s="6" t="inlineStr">
        <is>
          <t>RB-101</t>
        </is>
      </c>
      <c r="C42" s="6" t="inlineStr">
        <is>
          <t>11</t>
        </is>
      </c>
      <c r="D42" s="7" t="n">
        <v>6</v>
      </c>
      <c r="E42" s="7" t="n">
        <v>154</v>
      </c>
      <c r="F42" s="7" t="n">
        <v>0</v>
      </c>
    </row>
    <row r="43">
      <c r="A43" s="5" t="n">
        <v>45829</v>
      </c>
      <c r="B43" s="6" t="inlineStr">
        <is>
          <t>RB-101</t>
        </is>
      </c>
      <c r="C43" s="6" t="inlineStr">
        <is>
          <t>11</t>
        </is>
      </c>
      <c r="D43" s="7" t="n">
        <v>5</v>
      </c>
      <c r="E43" s="7" t="n">
        <v>149</v>
      </c>
      <c r="F43" s="7" t="n">
        <v>0</v>
      </c>
    </row>
    <row r="44">
      <c r="A44" s="5" t="n">
        <v>45836</v>
      </c>
      <c r="B44" s="6" t="inlineStr">
        <is>
          <t>RB-101</t>
        </is>
      </c>
      <c r="C44" s="6" t="inlineStr">
        <is>
          <t>11</t>
        </is>
      </c>
      <c r="D44" s="7" t="n">
        <v>8</v>
      </c>
      <c r="E44" s="7" t="n">
        <v>141</v>
      </c>
      <c r="F44" s="7" t="n">
        <v>0</v>
      </c>
    </row>
    <row r="45">
      <c r="A45" s="5" t="n">
        <v>45843</v>
      </c>
      <c r="B45" s="6" t="inlineStr">
        <is>
          <t>RB-101</t>
        </is>
      </c>
      <c r="C45" s="6" t="inlineStr">
        <is>
          <t>11</t>
        </is>
      </c>
      <c r="D45" s="7" t="n">
        <v>4</v>
      </c>
      <c r="E45" s="7" t="n">
        <v>137</v>
      </c>
      <c r="F45" s="7" t="n">
        <v>0</v>
      </c>
    </row>
    <row r="46">
      <c r="A46" s="5" t="n">
        <v>45850</v>
      </c>
      <c r="B46" s="6" t="inlineStr">
        <is>
          <t>RB-101</t>
        </is>
      </c>
      <c r="C46" s="6" t="inlineStr">
        <is>
          <t>11</t>
        </is>
      </c>
      <c r="D46" s="7" t="n">
        <v>7</v>
      </c>
      <c r="E46" s="7" t="n">
        <v>130</v>
      </c>
      <c r="F46" s="7" t="n">
        <v>0</v>
      </c>
    </row>
    <row r="47">
      <c r="A47" s="5" t="n">
        <v>45857</v>
      </c>
      <c r="B47" s="6" t="inlineStr">
        <is>
          <t>RB-101</t>
        </is>
      </c>
      <c r="C47" s="6" t="inlineStr">
        <is>
          <t>11</t>
        </is>
      </c>
      <c r="D47" s="7" t="n">
        <v>2</v>
      </c>
      <c r="E47" s="7" t="n">
        <v>157</v>
      </c>
      <c r="F47" s="7" t="n">
        <v>29</v>
      </c>
    </row>
    <row r="48">
      <c r="A48" s="5" t="n">
        <v>45864</v>
      </c>
      <c r="B48" s="6" t="inlineStr">
        <is>
          <t>RB-101</t>
        </is>
      </c>
      <c r="C48" s="6" t="inlineStr">
        <is>
          <t>11</t>
        </is>
      </c>
      <c r="D48" s="7" t="n">
        <v>5</v>
      </c>
      <c r="E48" s="7" t="n">
        <v>152</v>
      </c>
      <c r="F48" s="7" t="n">
        <v>0</v>
      </c>
    </row>
    <row r="49">
      <c r="A49" s="5" t="n">
        <v>45871</v>
      </c>
      <c r="B49" s="6" t="inlineStr">
        <is>
          <t>RB-101</t>
        </is>
      </c>
      <c r="C49" s="6" t="inlineStr">
        <is>
          <t>11</t>
        </is>
      </c>
      <c r="D49" s="7" t="n">
        <v>6</v>
      </c>
      <c r="E49" s="7" t="n">
        <v>146</v>
      </c>
      <c r="F49" s="7" t="n">
        <v>0</v>
      </c>
    </row>
    <row r="50">
      <c r="A50" s="5" t="n">
        <v>45878</v>
      </c>
      <c r="B50" s="6" t="inlineStr">
        <is>
          <t>RB-101</t>
        </is>
      </c>
      <c r="C50" s="6" t="inlineStr">
        <is>
          <t>11</t>
        </is>
      </c>
      <c r="D50" s="7" t="n">
        <v>6</v>
      </c>
      <c r="E50" s="7" t="n">
        <v>140</v>
      </c>
      <c r="F50" s="7" t="n">
        <v>0</v>
      </c>
    </row>
    <row r="51">
      <c r="A51" s="5" t="n">
        <v>45885</v>
      </c>
      <c r="B51" s="6" t="inlineStr">
        <is>
          <t>RB-101</t>
        </is>
      </c>
      <c r="C51" s="6" t="inlineStr">
        <is>
          <t>11</t>
        </is>
      </c>
      <c r="D51" s="7" t="n">
        <v>6</v>
      </c>
      <c r="E51" s="7" t="n">
        <v>134</v>
      </c>
      <c r="F51" s="7" t="n">
        <v>0</v>
      </c>
    </row>
    <row r="52">
      <c r="A52" s="5" t="n">
        <v>45892</v>
      </c>
      <c r="B52" s="6" t="inlineStr">
        <is>
          <t>RB-101</t>
        </is>
      </c>
      <c r="C52" s="6" t="inlineStr">
        <is>
          <t>11</t>
        </is>
      </c>
      <c r="D52" s="7" t="n">
        <v>8</v>
      </c>
      <c r="E52" s="7" t="n">
        <v>126</v>
      </c>
      <c r="F52" s="7" t="n">
        <v>0</v>
      </c>
    </row>
    <row r="53">
      <c r="A53" s="5" t="n">
        <v>45899</v>
      </c>
      <c r="B53" s="6" t="inlineStr">
        <is>
          <t>RB-101</t>
        </is>
      </c>
      <c r="C53" s="6" t="inlineStr">
        <is>
          <t>11</t>
        </is>
      </c>
      <c r="D53" s="7" t="n">
        <v>9</v>
      </c>
      <c r="E53" s="7" t="n">
        <v>157</v>
      </c>
      <c r="F53" s="7" t="n">
        <v>40</v>
      </c>
    </row>
    <row r="54">
      <c r="A54" s="8" t="n">
        <v>45906</v>
      </c>
      <c r="B54" s="9" t="inlineStr">
        <is>
          <t>RB-101</t>
        </is>
      </c>
      <c r="C54" s="9" t="inlineStr">
        <is>
          <t>11</t>
        </is>
      </c>
      <c r="D54" s="10" t="n">
        <v>4</v>
      </c>
      <c r="E54" s="10" t="n">
        <v>153</v>
      </c>
      <c r="F54" s="10" t="n">
        <v>0</v>
      </c>
    </row>
    <row r="55">
      <c r="A55" s="8" t="n">
        <v>45913</v>
      </c>
      <c r="B55" s="9" t="inlineStr">
        <is>
          <t>RB-101</t>
        </is>
      </c>
      <c r="C55" s="9" t="inlineStr">
        <is>
          <t>11</t>
        </is>
      </c>
      <c r="D55" s="10" t="n">
        <v>6</v>
      </c>
      <c r="E55" s="10" t="n">
        <v>147</v>
      </c>
      <c r="F55" s="10" t="n">
        <v>0</v>
      </c>
    </row>
    <row r="56">
      <c r="A56" s="8" t="n">
        <v>45920</v>
      </c>
      <c r="B56" s="9" t="inlineStr">
        <is>
          <t>RB-101</t>
        </is>
      </c>
      <c r="C56" s="9" t="inlineStr">
        <is>
          <t>11</t>
        </is>
      </c>
      <c r="D56" s="10" t="n">
        <v>10</v>
      </c>
      <c r="E56" s="10" t="n">
        <v>137</v>
      </c>
      <c r="F56" s="10" t="n">
        <v>0</v>
      </c>
    </row>
    <row r="57">
      <c r="A57" s="8" t="n">
        <v>45927</v>
      </c>
      <c r="B57" s="9" t="inlineStr">
        <is>
          <t>RB-101</t>
        </is>
      </c>
      <c r="C57" s="9" t="inlineStr">
        <is>
          <t>11</t>
        </is>
      </c>
      <c r="D57" s="10" t="n">
        <v>5</v>
      </c>
      <c r="E57" s="10" t="n">
        <v>132</v>
      </c>
      <c r="F57" s="10" t="n">
        <v>0</v>
      </c>
    </row>
    <row r="58">
      <c r="A58" s="8" t="n">
        <v>45934</v>
      </c>
      <c r="B58" s="9" t="inlineStr">
        <is>
          <t>RB-101</t>
        </is>
      </c>
      <c r="C58" s="9" t="inlineStr">
        <is>
          <t>11</t>
        </is>
      </c>
      <c r="D58" s="10" t="n">
        <v>11</v>
      </c>
      <c r="E58" s="10" t="n">
        <v>121</v>
      </c>
      <c r="F58" s="10" t="n">
        <v>0</v>
      </c>
    </row>
    <row r="59">
      <c r="A59" s="8" t="n">
        <v>45941</v>
      </c>
      <c r="B59" s="9" t="inlineStr">
        <is>
          <t>RB-101</t>
        </is>
      </c>
      <c r="C59" s="9" t="inlineStr">
        <is>
          <t>11</t>
        </is>
      </c>
      <c r="D59" s="10" t="n">
        <v>10</v>
      </c>
      <c r="E59" s="10" t="n">
        <v>187</v>
      </c>
      <c r="F59" s="10" t="n">
        <v>76</v>
      </c>
    </row>
    <row r="60">
      <c r="A60" s="8" t="n">
        <v>45948</v>
      </c>
      <c r="B60" s="9" t="inlineStr">
        <is>
          <t>RB-101</t>
        </is>
      </c>
      <c r="C60" s="9" t="inlineStr">
        <is>
          <t>11</t>
        </is>
      </c>
      <c r="D60" s="10" t="n">
        <v>3</v>
      </c>
      <c r="E60" s="10" t="n">
        <v>184</v>
      </c>
      <c r="F60" s="10" t="n">
        <v>0</v>
      </c>
    </row>
    <row r="61">
      <c r="A61" s="8" t="n">
        <v>45955</v>
      </c>
      <c r="B61" s="9" t="inlineStr">
        <is>
          <t>RB-101</t>
        </is>
      </c>
      <c r="C61" s="9" t="inlineStr">
        <is>
          <t>11</t>
        </is>
      </c>
      <c r="D61" s="10" t="n">
        <v>15</v>
      </c>
      <c r="E61" s="10" t="n">
        <v>169</v>
      </c>
      <c r="F61" s="10" t="n">
        <v>0</v>
      </c>
    </row>
    <row r="62">
      <c r="A62" s="8" t="n">
        <v>45962</v>
      </c>
      <c r="B62" s="9" t="inlineStr">
        <is>
          <t>RB-101</t>
        </is>
      </c>
      <c r="C62" s="9" t="inlineStr">
        <is>
          <t>11</t>
        </is>
      </c>
      <c r="D62" s="10" t="n">
        <v>13</v>
      </c>
      <c r="E62" s="10" t="n">
        <v>156</v>
      </c>
      <c r="F62" s="10" t="n">
        <v>0</v>
      </c>
    </row>
    <row r="63">
      <c r="A63" s="8" t="n">
        <v>45969</v>
      </c>
      <c r="B63" s="9" t="inlineStr">
        <is>
          <t>RB-101</t>
        </is>
      </c>
      <c r="C63" s="9" t="inlineStr">
        <is>
          <t>11</t>
        </is>
      </c>
      <c r="D63" s="10" t="n">
        <v>15</v>
      </c>
      <c r="E63" s="10" t="n">
        <v>141</v>
      </c>
      <c r="F63" s="10" t="n">
        <v>0</v>
      </c>
    </row>
    <row r="64">
      <c r="A64" s="8" t="n">
        <v>45976</v>
      </c>
      <c r="B64" s="9" t="inlineStr">
        <is>
          <t>RB-101</t>
        </is>
      </c>
      <c r="C64" s="9" t="inlineStr">
        <is>
          <t>11</t>
        </is>
      </c>
      <c r="D64" s="10" t="n">
        <v>11</v>
      </c>
      <c r="E64" s="10" t="n">
        <v>130</v>
      </c>
      <c r="F64" s="10" t="n">
        <v>0</v>
      </c>
    </row>
    <row r="65">
      <c r="A65" s="8" t="n">
        <v>45983</v>
      </c>
      <c r="B65" s="9" t="inlineStr">
        <is>
          <t>RB-101</t>
        </is>
      </c>
      <c r="C65" s="9" t="inlineStr">
        <is>
          <t>11</t>
        </is>
      </c>
      <c r="D65" s="10" t="n">
        <v>8</v>
      </c>
      <c r="E65" s="10" t="n">
        <v>206</v>
      </c>
      <c r="F65" s="10" t="n">
        <v>84</v>
      </c>
    </row>
    <row r="66">
      <c r="A66" s="5" t="n">
        <v>45990</v>
      </c>
      <c r="B66" s="6" t="inlineStr">
        <is>
          <t>RB-101</t>
        </is>
      </c>
      <c r="C66" s="6" t="inlineStr">
        <is>
          <t>11</t>
        </is>
      </c>
      <c r="D66" s="7" t="n">
        <v>4</v>
      </c>
      <c r="E66" s="7" t="n">
        <v>202</v>
      </c>
      <c r="F66" s="7" t="n">
        <v>0</v>
      </c>
    </row>
    <row r="67">
      <c r="A67" s="5" t="n">
        <v>45997</v>
      </c>
      <c r="B67" s="6" t="inlineStr">
        <is>
          <t>RB-101</t>
        </is>
      </c>
      <c r="C67" s="6" t="inlineStr">
        <is>
          <t>11</t>
        </is>
      </c>
      <c r="D67" s="7" t="n">
        <v>13</v>
      </c>
      <c r="E67" s="7" t="n">
        <v>189</v>
      </c>
      <c r="F67" s="7" t="n">
        <v>0</v>
      </c>
    </row>
    <row r="68">
      <c r="A68" s="5" t="n">
        <v>46004</v>
      </c>
      <c r="B68" s="6" t="inlineStr">
        <is>
          <t>RB-101</t>
        </is>
      </c>
      <c r="C68" s="6" t="inlineStr">
        <is>
          <t>11</t>
        </is>
      </c>
      <c r="D68" s="7" t="n">
        <v>5</v>
      </c>
      <c r="E68" s="7" t="n">
        <v>184</v>
      </c>
      <c r="F68" s="7" t="n">
        <v>0</v>
      </c>
    </row>
    <row r="69">
      <c r="A69" s="5" t="n">
        <v>46011</v>
      </c>
      <c r="B69" s="6" t="inlineStr">
        <is>
          <t>RB-101</t>
        </is>
      </c>
      <c r="C69" s="6" t="inlineStr">
        <is>
          <t>11</t>
        </is>
      </c>
      <c r="D69" s="7" t="n">
        <v>13</v>
      </c>
      <c r="E69" s="7" t="n">
        <v>171</v>
      </c>
      <c r="F69" s="7" t="n">
        <v>0</v>
      </c>
    </row>
    <row r="70">
      <c r="A70" s="5" t="n">
        <v>46018</v>
      </c>
      <c r="B70" s="6" t="inlineStr">
        <is>
          <t>RB-101</t>
        </is>
      </c>
      <c r="C70" s="6" t="inlineStr">
        <is>
          <t>11</t>
        </is>
      </c>
      <c r="D70" s="7" t="n">
        <v>7</v>
      </c>
      <c r="E70" s="7" t="n">
        <v>164</v>
      </c>
      <c r="F70" s="7" t="n">
        <v>0</v>
      </c>
    </row>
    <row r="71">
      <c r="A71" s="5" t="n">
        <v>46025</v>
      </c>
      <c r="B71" s="6" t="inlineStr">
        <is>
          <t>RB-101</t>
        </is>
      </c>
      <c r="C71" s="6" t="inlineStr">
        <is>
          <t>11</t>
        </is>
      </c>
      <c r="D71" s="7" t="n">
        <v>13</v>
      </c>
      <c r="E71" s="7" t="n">
        <v>230</v>
      </c>
      <c r="F71" s="7" t="n">
        <v>79</v>
      </c>
    </row>
    <row r="72">
      <c r="A72" s="5" t="n">
        <v>46032</v>
      </c>
      <c r="B72" s="6" t="inlineStr">
        <is>
          <t>RB-101</t>
        </is>
      </c>
      <c r="C72" s="6" t="inlineStr">
        <is>
          <t>11</t>
        </is>
      </c>
      <c r="D72" s="7" t="n">
        <v>15</v>
      </c>
      <c r="E72" s="7" t="n">
        <v>215</v>
      </c>
      <c r="F72" s="7" t="n">
        <v>0</v>
      </c>
    </row>
    <row r="73">
      <c r="A73" s="5" t="n">
        <v>46039</v>
      </c>
      <c r="B73" s="6" t="inlineStr">
        <is>
          <t>RB-101</t>
        </is>
      </c>
      <c r="C73" s="6" t="inlineStr">
        <is>
          <t>11</t>
        </is>
      </c>
      <c r="D73" s="7" t="n">
        <v>13</v>
      </c>
      <c r="E73" s="7" t="n">
        <v>202</v>
      </c>
      <c r="F73" s="7" t="n">
        <v>0</v>
      </c>
    </row>
    <row r="74">
      <c r="A74" s="5" t="n">
        <v>46046</v>
      </c>
      <c r="B74" s="6" t="inlineStr">
        <is>
          <t>RB-101</t>
        </is>
      </c>
      <c r="C74" s="6" t="inlineStr">
        <is>
          <t>11</t>
        </is>
      </c>
      <c r="D74" s="7" t="n">
        <v>13</v>
      </c>
      <c r="E74" s="7" t="n">
        <v>189</v>
      </c>
      <c r="F74" s="7" t="n">
        <v>0</v>
      </c>
    </row>
    <row r="75">
      <c r="A75" s="5" t="n">
        <v>46053</v>
      </c>
      <c r="B75" s="6" t="inlineStr">
        <is>
          <t>RB-101</t>
        </is>
      </c>
      <c r="C75" s="6" t="inlineStr">
        <is>
          <t>11</t>
        </is>
      </c>
      <c r="D75" s="7" t="n">
        <v>8</v>
      </c>
      <c r="E75" s="7" t="n">
        <v>181</v>
      </c>
      <c r="F75" s="7" t="n">
        <v>0</v>
      </c>
    </row>
    <row r="76">
      <c r="A76" s="5" t="n">
        <v>46060</v>
      </c>
      <c r="B76" s="6" t="inlineStr">
        <is>
          <t>RB-101</t>
        </is>
      </c>
      <c r="C76" s="6" t="inlineStr">
        <is>
          <t>11</t>
        </is>
      </c>
      <c r="D76" s="7" t="n">
        <v>11</v>
      </c>
      <c r="E76" s="7" t="n">
        <v>170</v>
      </c>
      <c r="F76" s="7" t="n">
        <v>0</v>
      </c>
    </row>
    <row r="77">
      <c r="A77" s="5" t="n">
        <v>46067</v>
      </c>
      <c r="B77" s="6" t="inlineStr">
        <is>
          <t>RB-101</t>
        </is>
      </c>
      <c r="C77" s="6" t="inlineStr">
        <is>
          <t>11</t>
        </is>
      </c>
      <c r="D77" s="7" t="n">
        <v>11</v>
      </c>
      <c r="E77" s="7" t="n">
        <v>232</v>
      </c>
      <c r="F77" s="7" t="n">
        <v>73</v>
      </c>
    </row>
    <row r="78">
      <c r="A78" s="5" t="n">
        <v>46074</v>
      </c>
      <c r="B78" s="6" t="inlineStr">
        <is>
          <t>RB-101</t>
        </is>
      </c>
      <c r="C78" s="6" t="inlineStr">
        <is>
          <t>11</t>
        </is>
      </c>
      <c r="D78" s="7" t="n">
        <v>13</v>
      </c>
      <c r="E78" s="7" t="n">
        <v>219</v>
      </c>
      <c r="F78" s="7" t="n">
        <v>0</v>
      </c>
    </row>
    <row r="79">
      <c r="A79" s="5" t="n">
        <v>46081</v>
      </c>
      <c r="B79" s="6" t="inlineStr">
        <is>
          <t>RB-101</t>
        </is>
      </c>
      <c r="C79" s="6" t="inlineStr">
        <is>
          <t>11</t>
        </is>
      </c>
      <c r="D79" s="7" t="n">
        <v>9</v>
      </c>
      <c r="E79" s="7" t="n">
        <v>210</v>
      </c>
      <c r="F79" s="7" t="n">
        <v>0</v>
      </c>
    </row>
    <row r="80">
      <c r="A80" s="5" t="n">
        <v>46088</v>
      </c>
      <c r="B80" s="6" t="inlineStr">
        <is>
          <t>RB-101</t>
        </is>
      </c>
      <c r="C80" s="6" t="inlineStr">
        <is>
          <t>11</t>
        </is>
      </c>
      <c r="D80" s="7" t="n">
        <v>17</v>
      </c>
      <c r="E80" s="7" t="n">
        <v>193</v>
      </c>
      <c r="F80" s="7" t="n">
        <v>0</v>
      </c>
    </row>
    <row r="81">
      <c r="A81" s="5" t="n">
        <v>46095</v>
      </c>
      <c r="B81" s="6" t="inlineStr">
        <is>
          <t>RB-101</t>
        </is>
      </c>
      <c r="C81" s="6" t="inlineStr">
        <is>
          <t>11</t>
        </is>
      </c>
      <c r="D81" s="7" t="n">
        <v>9</v>
      </c>
      <c r="E81" s="7" t="n">
        <v>184</v>
      </c>
      <c r="F81" s="7" t="n">
        <v>0</v>
      </c>
    </row>
    <row r="82">
      <c r="A82" s="5" t="n">
        <v>46102</v>
      </c>
      <c r="B82" s="6" t="inlineStr">
        <is>
          <t>RB-101</t>
        </is>
      </c>
      <c r="C82" s="6" t="inlineStr">
        <is>
          <t>11</t>
        </is>
      </c>
      <c r="D82" s="7" t="n">
        <v>16</v>
      </c>
      <c r="E82" s="7" t="n">
        <v>168</v>
      </c>
      <c r="F82" s="7" t="n">
        <v>0</v>
      </c>
    </row>
    <row r="83">
      <c r="A83" s="5" t="n">
        <v>46109</v>
      </c>
      <c r="B83" s="6" t="inlineStr">
        <is>
          <t>RB-101</t>
        </is>
      </c>
      <c r="C83" s="6" t="inlineStr">
        <is>
          <t>11</t>
        </is>
      </c>
      <c r="D83" s="7" t="n">
        <v>9</v>
      </c>
      <c r="E83" s="7" t="n">
        <v>226</v>
      </c>
      <c r="F83" s="7" t="n">
        <v>67</v>
      </c>
    </row>
    <row r="84">
      <c r="A84" s="5" t="n">
        <v>46116</v>
      </c>
      <c r="B84" s="6" t="inlineStr">
        <is>
          <t>RB-101</t>
        </is>
      </c>
      <c r="C84" s="6" t="inlineStr">
        <is>
          <t>11</t>
        </is>
      </c>
      <c r="D84" s="7" t="n">
        <v>6</v>
      </c>
      <c r="E84" s="7" t="n">
        <v>220</v>
      </c>
      <c r="F84" s="7" t="n">
        <v>0</v>
      </c>
    </row>
    <row r="85">
      <c r="A85" s="5" t="n">
        <v>46123</v>
      </c>
      <c r="B85" s="6" t="inlineStr">
        <is>
          <t>RB-101</t>
        </is>
      </c>
      <c r="C85" s="6" t="inlineStr">
        <is>
          <t>11</t>
        </is>
      </c>
      <c r="D85" s="7" t="n">
        <v>5</v>
      </c>
      <c r="E85" s="7" t="n">
        <v>215</v>
      </c>
      <c r="F85" s="7" t="n">
        <v>0</v>
      </c>
    </row>
    <row r="86">
      <c r="A86" s="5" t="n">
        <v>46130</v>
      </c>
      <c r="B86" s="6" t="inlineStr">
        <is>
          <t>RB-101</t>
        </is>
      </c>
      <c r="C86" s="6" t="inlineStr">
        <is>
          <t>11</t>
        </is>
      </c>
      <c r="D86" s="7" t="n">
        <v>6</v>
      </c>
      <c r="E86" s="7" t="n">
        <v>209</v>
      </c>
      <c r="F86" s="7" t="n">
        <v>0</v>
      </c>
    </row>
    <row r="87">
      <c r="A87" s="5" t="n">
        <v>46137</v>
      </c>
      <c r="B87" s="6" t="inlineStr">
        <is>
          <t>RB-101</t>
        </is>
      </c>
      <c r="C87" s="6" t="inlineStr">
        <is>
          <t>11</t>
        </is>
      </c>
      <c r="D87" s="7" t="n">
        <v>10</v>
      </c>
      <c r="E87" s="7" t="n">
        <v>199</v>
      </c>
      <c r="F87" s="7" t="n">
        <v>0</v>
      </c>
    </row>
    <row r="88">
      <c r="A88" s="5" t="n">
        <v>46144</v>
      </c>
      <c r="B88" s="6" t="inlineStr">
        <is>
          <t>RB-101</t>
        </is>
      </c>
      <c r="C88" s="6" t="inlineStr">
        <is>
          <t>11</t>
        </is>
      </c>
      <c r="D88" s="7" t="n">
        <v>5</v>
      </c>
      <c r="E88" s="7" t="n">
        <v>194</v>
      </c>
      <c r="F88" s="7" t="n">
        <v>0</v>
      </c>
    </row>
    <row r="89">
      <c r="A89" s="5" t="n">
        <v>46151</v>
      </c>
      <c r="B89" s="6" t="inlineStr">
        <is>
          <t>RB-101</t>
        </is>
      </c>
      <c r="C89" s="6" t="inlineStr">
        <is>
          <t>11</t>
        </is>
      </c>
      <c r="D89" s="7" t="n">
        <v>8</v>
      </c>
      <c r="E89" s="7" t="n">
        <v>229</v>
      </c>
      <c r="F89" s="7" t="n">
        <v>43</v>
      </c>
    </row>
    <row r="90">
      <c r="A90" s="5" t="n">
        <v>46158</v>
      </c>
      <c r="B90" s="6" t="inlineStr">
        <is>
          <t>RB-101</t>
        </is>
      </c>
      <c r="C90" s="6" t="inlineStr">
        <is>
          <t>11</t>
        </is>
      </c>
      <c r="D90" s="7" t="n">
        <v>9</v>
      </c>
      <c r="E90" s="7" t="n">
        <v>220</v>
      </c>
      <c r="F90" s="7" t="n">
        <v>0</v>
      </c>
    </row>
    <row r="91">
      <c r="A91" s="5" t="n">
        <v>46165</v>
      </c>
      <c r="B91" s="6" t="inlineStr">
        <is>
          <t>RB-101</t>
        </is>
      </c>
      <c r="C91" s="6" t="inlineStr">
        <is>
          <t>11</t>
        </is>
      </c>
      <c r="D91" s="7" t="n">
        <v>5</v>
      </c>
      <c r="E91" s="7" t="n">
        <v>215</v>
      </c>
      <c r="F91" s="7" t="n">
        <v>0</v>
      </c>
    </row>
    <row r="92">
      <c r="A92" s="5" t="n">
        <v>46172</v>
      </c>
      <c r="B92" s="6" t="inlineStr">
        <is>
          <t>RB-101</t>
        </is>
      </c>
      <c r="C92" s="6" t="inlineStr">
        <is>
          <t>11</t>
        </is>
      </c>
      <c r="D92" s="7" t="n">
        <v>3</v>
      </c>
      <c r="E92" s="7" t="n">
        <v>212</v>
      </c>
      <c r="F92" s="7" t="n">
        <v>0</v>
      </c>
    </row>
    <row r="93">
      <c r="A93" s="5" t="n">
        <v>46179</v>
      </c>
      <c r="B93" s="6" t="inlineStr">
        <is>
          <t>RB-101</t>
        </is>
      </c>
      <c r="C93" s="6" t="inlineStr">
        <is>
          <t>11</t>
        </is>
      </c>
      <c r="D93" s="7" t="n">
        <v>1</v>
      </c>
      <c r="E93" s="7" t="n">
        <v>211</v>
      </c>
      <c r="F93" s="7" t="n">
        <v>0</v>
      </c>
    </row>
    <row r="94">
      <c r="A94" s="5" t="n">
        <v>46186</v>
      </c>
      <c r="B94" s="6" t="inlineStr">
        <is>
          <t>RB-101</t>
        </is>
      </c>
      <c r="C94" s="6" t="inlineStr">
        <is>
          <t>11</t>
        </is>
      </c>
      <c r="D94" s="7" t="n">
        <v>2</v>
      </c>
      <c r="E94" s="7" t="n">
        <v>209</v>
      </c>
      <c r="F94" s="7" t="n">
        <v>0</v>
      </c>
    </row>
    <row r="95">
      <c r="A95" s="5" t="n">
        <v>46193</v>
      </c>
      <c r="B95" s="6" t="inlineStr">
        <is>
          <t>RB-101</t>
        </is>
      </c>
      <c r="C95" s="6" t="inlineStr">
        <is>
          <t>11</t>
        </is>
      </c>
      <c r="D95" s="7" t="n">
        <v>4</v>
      </c>
      <c r="E95" s="7" t="n">
        <v>237</v>
      </c>
      <c r="F95" s="7" t="n">
        <v>32</v>
      </c>
    </row>
    <row r="96">
      <c r="A96" s="5" t="n">
        <v>46200</v>
      </c>
      <c r="B96" s="6" t="inlineStr">
        <is>
          <t>RB-101</t>
        </is>
      </c>
      <c r="C96" s="6" t="inlineStr">
        <is>
          <t>11</t>
        </is>
      </c>
      <c r="D96" s="7" t="n">
        <v>2</v>
      </c>
      <c r="E96" s="7" t="n">
        <v>235</v>
      </c>
      <c r="F96" s="7" t="n">
        <v>0</v>
      </c>
    </row>
    <row r="97">
      <c r="A97" s="5" t="n">
        <v>46207</v>
      </c>
      <c r="B97" s="6" t="inlineStr">
        <is>
          <t>RB-101</t>
        </is>
      </c>
      <c r="C97" s="6" t="inlineStr">
        <is>
          <t>11</t>
        </is>
      </c>
      <c r="D97" s="7" t="n">
        <v>2</v>
      </c>
      <c r="E97" s="7" t="n">
        <v>233</v>
      </c>
      <c r="F97" s="7" t="n">
        <v>0</v>
      </c>
    </row>
    <row r="98">
      <c r="A98" s="5" t="n">
        <v>46214</v>
      </c>
      <c r="B98" s="6" t="inlineStr">
        <is>
          <t>RB-101</t>
        </is>
      </c>
      <c r="C98" s="6" t="inlineStr">
        <is>
          <t>11</t>
        </is>
      </c>
      <c r="D98" s="7" t="n">
        <v>1</v>
      </c>
      <c r="E98" s="7" t="n">
        <v>232</v>
      </c>
      <c r="F98" s="7" t="n">
        <v>0</v>
      </c>
    </row>
    <row r="99">
      <c r="A99" s="5" t="n">
        <v>46221</v>
      </c>
      <c r="B99" s="6" t="inlineStr">
        <is>
          <t>RB-101</t>
        </is>
      </c>
      <c r="C99" s="6" t="inlineStr">
        <is>
          <t>11</t>
        </is>
      </c>
      <c r="D99" s="7" t="n">
        <v>8</v>
      </c>
      <c r="E99" s="7" t="n">
        <v>224</v>
      </c>
      <c r="F99" s="7" t="n">
        <v>0</v>
      </c>
    </row>
    <row r="100">
      <c r="A100" s="5" t="n">
        <v>46228</v>
      </c>
      <c r="B100" s="6" t="inlineStr">
        <is>
          <t>RB-101</t>
        </is>
      </c>
      <c r="C100" s="6" t="inlineStr">
        <is>
          <t>11</t>
        </is>
      </c>
      <c r="D100" s="7" t="n">
        <v>5</v>
      </c>
      <c r="E100" s="7" t="n">
        <v>219</v>
      </c>
      <c r="F100" s="7" t="n">
        <v>0</v>
      </c>
    </row>
    <row r="101">
      <c r="A101" s="5" t="n">
        <v>46235</v>
      </c>
      <c r="B101" s="6" t="inlineStr">
        <is>
          <t>RB-101</t>
        </is>
      </c>
      <c r="C101" s="6" t="inlineStr">
        <is>
          <t>11</t>
        </is>
      </c>
      <c r="D101" s="7" t="n">
        <v>4</v>
      </c>
      <c r="E101" s="7" t="n">
        <v>255</v>
      </c>
      <c r="F101" s="7" t="n">
        <v>40</v>
      </c>
    </row>
    <row r="102">
      <c r="A102" s="5" t="n">
        <v>46242</v>
      </c>
      <c r="B102" s="6" t="inlineStr">
        <is>
          <t>RB-101</t>
        </is>
      </c>
      <c r="C102" s="6" t="inlineStr">
        <is>
          <t>11</t>
        </is>
      </c>
      <c r="D102" s="7" t="n">
        <v>5</v>
      </c>
      <c r="E102" s="7" t="n">
        <v>250</v>
      </c>
      <c r="F102" s="7" t="n">
        <v>0</v>
      </c>
    </row>
    <row r="103">
      <c r="A103" s="5" t="n">
        <v>46249</v>
      </c>
      <c r="B103" s="6" t="inlineStr">
        <is>
          <t>RB-101</t>
        </is>
      </c>
      <c r="C103" s="11" t="inlineStr">
        <is>
          <t>11</t>
        </is>
      </c>
      <c r="D103" s="7" t="n">
        <v>3</v>
      </c>
      <c r="E103" s="7" t="n">
        <v>247</v>
      </c>
      <c r="F103" s="7" t="n">
        <v>0</v>
      </c>
    </row>
    <row r="104">
      <c r="A104" s="5" t="n">
        <v>46256</v>
      </c>
      <c r="B104" s="6" t="inlineStr">
        <is>
          <t>RB-101</t>
        </is>
      </c>
      <c r="C104" s="11" t="inlineStr">
        <is>
          <t>11</t>
        </is>
      </c>
      <c r="D104" s="7" t="n">
        <v>3</v>
      </c>
      <c r="E104" s="7" t="n">
        <v>244</v>
      </c>
      <c r="F104" s="7" t="n">
        <v>0</v>
      </c>
    </row>
    <row r="105">
      <c r="A105" s="5" t="n">
        <v>46263</v>
      </c>
      <c r="B105" s="6" t="inlineStr">
        <is>
          <t>RB-101</t>
        </is>
      </c>
      <c r="C105" s="11" t="inlineStr">
        <is>
          <t>11</t>
        </is>
      </c>
      <c r="D105" s="7" t="n">
        <v>10</v>
      </c>
      <c r="E105" s="7" t="n">
        <v>234</v>
      </c>
      <c r="F105" s="7" t="n">
        <v>0</v>
      </c>
    </row>
    <row r="106">
      <c r="A106" s="12" t="n">
        <v>46270</v>
      </c>
      <c r="B106" s="13" t="inlineStr">
        <is>
          <t>RB-101</t>
        </is>
      </c>
      <c r="C106" s="13" t="inlineStr">
        <is>
          <t>11</t>
        </is>
      </c>
      <c r="D106" s="18">
        <f>MAX(0,ROUND($I$10*($I$8*AVERAGEIFS($D$2:$D$105,$A$2:$A$105,"&gt;="&amp;A106-364-7,$A$2:$A$105,"&lt;="&amp;A106-364+7)/$I$5+(1-$I$8)*AVERAGEIFS($D$2:$D$105,$A$2:$A$105,"&gt;="&amp;A106-728-7,$A$2:$A$105,"&lt;="&amp;A106-728+7)/$I$6),0))</f>
        <v/>
      </c>
      <c r="E106" s="18">
        <f>MAX(0,E105+F106-D106)</f>
        <v/>
      </c>
      <c r="F106" s="18" t="n">
        <v>0</v>
      </c>
    </row>
    <row r="107">
      <c r="A107" s="12" t="n">
        <v>46277</v>
      </c>
      <c r="B107" s="13" t="inlineStr">
        <is>
          <t>RB-101</t>
        </is>
      </c>
      <c r="C107" s="13" t="inlineStr">
        <is>
          <t>11</t>
        </is>
      </c>
      <c r="D107" s="18">
        <f>MAX(0,ROUND($I$10*($I$8*AVERAGEIFS($D$2:$D$105,$A$2:$A$105,"&gt;="&amp;A107-364-7,$A$2:$A$105,"&lt;="&amp;A107-364+7)/$I$5+(1-$I$8)*AVERAGEIFS($D$2:$D$105,$A$2:$A$105,"&gt;="&amp;A107-728-7,$A$2:$A$105,"&lt;="&amp;A107-728+7)/$I$6),0))</f>
        <v/>
      </c>
      <c r="E107" s="18">
        <f>MAX(0,E106+F107-D107)</f>
        <v/>
      </c>
      <c r="F107" s="18" t="n">
        <v>0</v>
      </c>
    </row>
    <row r="108">
      <c r="A108" s="12" t="n">
        <v>46284</v>
      </c>
      <c r="B108" s="13" t="inlineStr">
        <is>
          <t>RB-101</t>
        </is>
      </c>
      <c r="C108" s="13" t="inlineStr">
        <is>
          <t>11</t>
        </is>
      </c>
      <c r="D108" s="18">
        <f>MAX(0,ROUND($I$10*($I$8*AVERAGEIFS($D$2:$D$105,$A$2:$A$105,"&gt;="&amp;A108-364-7,$A$2:$A$105,"&lt;="&amp;A108-364+7)/$I$5+(1-$I$8)*AVERAGEIFS($D$2:$D$105,$A$2:$A$105,"&gt;="&amp;A108-728-7,$A$2:$A$105,"&lt;="&amp;A108-728+7)/$I$6),0))</f>
        <v/>
      </c>
      <c r="E108" s="18">
        <f>MAX(0,E107+F108-D108)</f>
        <v/>
      </c>
      <c r="F108" s="18" t="n">
        <v>0</v>
      </c>
    </row>
    <row r="109">
      <c r="A109" s="12" t="n">
        <v>46291</v>
      </c>
      <c r="B109" s="13" t="inlineStr">
        <is>
          <t>RB-101</t>
        </is>
      </c>
      <c r="C109" s="13" t="inlineStr">
        <is>
          <t>11</t>
        </is>
      </c>
      <c r="D109" s="18">
        <f>MAX(0,ROUND($I$10*($I$8*AVERAGEIFS($D$2:$D$105,$A$2:$A$105,"&gt;="&amp;A109-364-7,$A$2:$A$105,"&lt;="&amp;A109-364+7)/$I$5+(1-$I$8)*AVERAGEIFS($D$2:$D$105,$A$2:$A$105,"&gt;="&amp;A109-728-7,$A$2:$A$105,"&lt;="&amp;A109-728+7)/$I$6),0))</f>
        <v/>
      </c>
      <c r="E109" s="18">
        <f>MAX(0,E108+F109-D109)</f>
        <v/>
      </c>
      <c r="F109" s="18" t="n">
        <v>0</v>
      </c>
    </row>
    <row r="110">
      <c r="A110" s="12" t="n">
        <v>46298</v>
      </c>
      <c r="B110" s="13" t="inlineStr">
        <is>
          <t>RB-101</t>
        </is>
      </c>
      <c r="C110" s="13" t="inlineStr">
        <is>
          <t>11</t>
        </is>
      </c>
      <c r="D110" s="18">
        <f>MAX(0,ROUND($I$10*($I$8*AVERAGEIFS($D$2:$D$105,$A$2:$A$105,"&gt;="&amp;A110-364-7,$A$2:$A$105,"&lt;="&amp;A110-364+7)/$I$5+(1-$I$8)*AVERAGEIFS($D$2:$D$105,$A$2:$A$105,"&gt;="&amp;A110-728-7,$A$2:$A$105,"&lt;="&amp;A110-728+7)/$I$6),0))</f>
        <v/>
      </c>
      <c r="E110" s="18">
        <f>MAX(0,E109+F110-D110)</f>
        <v/>
      </c>
      <c r="F110" s="18" t="n">
        <v>0</v>
      </c>
    </row>
    <row r="111">
      <c r="A111" s="12" t="n">
        <v>46305</v>
      </c>
      <c r="B111" s="13" t="inlineStr">
        <is>
          <t>RB-101</t>
        </is>
      </c>
      <c r="C111" s="13" t="inlineStr">
        <is>
          <t>11</t>
        </is>
      </c>
      <c r="D111" s="18">
        <f>MAX(0,ROUND($I$10*($I$8*AVERAGEIFS($D$2:$D$105,$A$2:$A$105,"&gt;="&amp;A111-364-7,$A$2:$A$105,"&lt;="&amp;A111-364+7)/$I$5+(1-$I$8)*AVERAGEIFS($D$2:$D$105,$A$2:$A$105,"&gt;="&amp;A111-728-7,$A$2:$A$105,"&lt;="&amp;A111-728+7)/$I$6),0))</f>
        <v/>
      </c>
      <c r="E111" s="18">
        <f>MAX(0,E110+F111-D111)</f>
        <v/>
      </c>
      <c r="F111" s="18" t="n">
        <v>0</v>
      </c>
    </row>
    <row r="112">
      <c r="A112" s="12" t="n">
        <v>46312</v>
      </c>
      <c r="B112" s="13" t="inlineStr">
        <is>
          <t>RB-101</t>
        </is>
      </c>
      <c r="C112" s="13" t="inlineStr">
        <is>
          <t>11</t>
        </is>
      </c>
      <c r="D112" s="18">
        <f>MAX(0,ROUND($I$10*($I$8*AVERAGEIFS($D$2:$D$105,$A$2:$A$105,"&gt;="&amp;A112-364-7,$A$2:$A$105,"&lt;="&amp;A112-364+7)/$I$5+(1-$I$8)*AVERAGEIFS($D$2:$D$105,$A$2:$A$105,"&gt;="&amp;A112-728-7,$A$2:$A$105,"&lt;="&amp;A112-728+7)/$I$6),0))</f>
        <v/>
      </c>
      <c r="E112" s="18">
        <f>MAX(0,E111+F112-D112)</f>
        <v/>
      </c>
      <c r="F112" s="18" t="n">
        <v>0</v>
      </c>
    </row>
    <row r="113">
      <c r="A113" s="12" t="n">
        <v>46319</v>
      </c>
      <c r="B113" s="13" t="inlineStr">
        <is>
          <t>RB-101</t>
        </is>
      </c>
      <c r="C113" s="13" t="inlineStr">
        <is>
          <t>11</t>
        </is>
      </c>
      <c r="D113" s="18">
        <f>MAX(0,ROUND($I$10*($I$8*AVERAGEIFS($D$2:$D$105,$A$2:$A$105,"&gt;="&amp;A113-364-7,$A$2:$A$105,"&lt;="&amp;A113-364+7)/$I$5+(1-$I$8)*AVERAGEIFS($D$2:$D$105,$A$2:$A$105,"&gt;="&amp;A113-728-7,$A$2:$A$105,"&lt;="&amp;A113-728+7)/$I$6),0))</f>
        <v/>
      </c>
      <c r="E113" s="18">
        <f>MAX(0,E112+F113-D113)</f>
        <v/>
      </c>
      <c r="F113" s="18" t="n">
        <v>0</v>
      </c>
    </row>
    <row r="114">
      <c r="A114" s="12" t="n">
        <v>46326</v>
      </c>
      <c r="B114" s="13" t="inlineStr">
        <is>
          <t>RB-101</t>
        </is>
      </c>
      <c r="C114" s="13" t="inlineStr">
        <is>
          <t>11</t>
        </is>
      </c>
      <c r="D114" s="18">
        <f>MAX(0,ROUND($I$10*($I$8*AVERAGEIFS($D$2:$D$105,$A$2:$A$105,"&gt;="&amp;A114-364-7,$A$2:$A$105,"&lt;="&amp;A114-364+7)/$I$5+(1-$I$8)*AVERAGEIFS($D$2:$D$105,$A$2:$A$105,"&gt;="&amp;A114-728-7,$A$2:$A$105,"&lt;="&amp;A114-728+7)/$I$6),0))</f>
        <v/>
      </c>
      <c r="E114" s="18">
        <f>MAX(0,E113+F114-D114)</f>
        <v/>
      </c>
      <c r="F114" s="18" t="n">
        <v>0</v>
      </c>
    </row>
    <row r="115">
      <c r="A115" s="12" t="n">
        <v>46333</v>
      </c>
      <c r="B115" s="13" t="inlineStr">
        <is>
          <t>RB-101</t>
        </is>
      </c>
      <c r="C115" s="13" t="inlineStr">
        <is>
          <t>11</t>
        </is>
      </c>
      <c r="D115" s="18">
        <f>MAX(0,ROUND($I$10*($I$8*AVERAGEIFS($D$2:$D$105,$A$2:$A$105,"&gt;="&amp;A115-364-7,$A$2:$A$105,"&lt;="&amp;A115-364+7)/$I$5+(1-$I$8)*AVERAGEIFS($D$2:$D$105,$A$2:$A$105,"&gt;="&amp;A115-728-7,$A$2:$A$105,"&lt;="&amp;A115-728+7)/$I$6),0))</f>
        <v/>
      </c>
      <c r="E115" s="18">
        <f>MAX(0,E114+F115-D115)</f>
        <v/>
      </c>
      <c r="F115" s="18" t="n">
        <v>0</v>
      </c>
    </row>
    <row r="116">
      <c r="A116" s="12" t="n">
        <v>46340</v>
      </c>
      <c r="B116" s="13" t="inlineStr">
        <is>
          <t>RB-101</t>
        </is>
      </c>
      <c r="C116" s="13" t="inlineStr">
        <is>
          <t>11</t>
        </is>
      </c>
      <c r="D116" s="18">
        <f>MAX(0,ROUND($I$10*($I$8*AVERAGEIFS($D$2:$D$105,$A$2:$A$105,"&gt;="&amp;A116-364-7,$A$2:$A$105,"&lt;="&amp;A116-364+7)/$I$5+(1-$I$8)*AVERAGEIFS($D$2:$D$105,$A$2:$A$105,"&gt;="&amp;A116-728-7,$A$2:$A$105,"&lt;="&amp;A116-728+7)/$I$6),0))</f>
        <v/>
      </c>
      <c r="E116" s="18">
        <f>MAX(0,E115+F116-D116)</f>
        <v/>
      </c>
      <c r="F116" s="18" t="n">
        <v>0</v>
      </c>
    </row>
    <row r="117">
      <c r="A117" s="12" t="n">
        <v>46347</v>
      </c>
      <c r="B117" s="13" t="inlineStr">
        <is>
          <t>RB-101</t>
        </is>
      </c>
      <c r="C117" s="13" t="inlineStr">
        <is>
          <t>11</t>
        </is>
      </c>
      <c r="D117" s="18">
        <f>MAX(0,ROUND($I$10*($I$8*AVERAGEIFS($D$2:$D$105,$A$2:$A$105,"&gt;="&amp;A117-364-7,$A$2:$A$105,"&lt;="&amp;A117-364+7)/$I$5+(1-$I$8)*AVERAGEIFS($D$2:$D$105,$A$2:$A$105,"&gt;="&amp;A117-728-7,$A$2:$A$105,"&lt;="&amp;A117-728+7)/$I$6),0))</f>
        <v/>
      </c>
      <c r="E117" s="18">
        <f>MAX(0,E116+F117-D117)</f>
        <v/>
      </c>
      <c r="F117" s="18" t="n">
        <v>0</v>
      </c>
    </row>
    <row r="118">
      <c r="A118" s="12" t="n"/>
      <c r="B118" s="13" t="n"/>
      <c r="C118" s="13" t="n"/>
      <c r="D118" s="13" t="n"/>
      <c r="E118" s="13" t="n"/>
      <c r="F11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2026-10-01T19:34:42Z</dcterms:created>
  <dcterms:modified xsi:type="dcterms:W3CDTF">2026-10-01T19:34:42Z</dcterms:modified>
</cp:coreProperties>
</file>